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Simple 5-Year DCF (Unlevered)</t>
        </is>
      </c>
    </row>
    <row r="3">
      <c r="A3" s="2" t="inlineStr">
        <is>
          <t>Assumptions</t>
        </is>
      </c>
    </row>
    <row r="4">
      <c r="A4" t="inlineStr">
        <is>
          <t>Base Year Revenue (Y0)</t>
        </is>
      </c>
      <c r="B4" t="n">
        <v>1000</v>
      </c>
    </row>
    <row r="5">
      <c r="A5" t="inlineStr">
        <is>
          <t>EBIT Margin</t>
        </is>
      </c>
      <c r="B5" s="3" t="n">
        <v>0.2</v>
      </c>
    </row>
    <row r="6">
      <c r="A6" t="inlineStr">
        <is>
          <t>Tax Rate</t>
        </is>
      </c>
      <c r="B6" s="3" t="n">
        <v>0.25</v>
      </c>
    </row>
    <row r="7">
      <c r="A7" t="inlineStr">
        <is>
          <t>D&amp;A (% of Revenue)</t>
        </is>
      </c>
      <c r="B7" s="3" t="n">
        <v>0.03</v>
      </c>
    </row>
    <row r="8">
      <c r="A8" t="inlineStr">
        <is>
          <t>Capex (% of Revenue)</t>
        </is>
      </c>
      <c r="B8" s="3" t="n">
        <v>0.04</v>
      </c>
    </row>
    <row r="9">
      <c r="A9" t="inlineStr">
        <is>
          <t>NWC (% of Revenue)</t>
        </is>
      </c>
      <c r="B9" s="3" t="n">
        <v>0.1</v>
      </c>
    </row>
    <row r="10">
      <c r="A10" t="inlineStr">
        <is>
          <t>WACC (Discount Rate)</t>
        </is>
      </c>
      <c r="B10" s="3" t="n">
        <v>0.1</v>
      </c>
    </row>
    <row r="11">
      <c r="A11" t="inlineStr">
        <is>
          <t>Terminal Growth Rate</t>
        </is>
      </c>
      <c r="B11" s="3" t="n">
        <v>0.03</v>
      </c>
    </row>
    <row r="13">
      <c r="A13" t="inlineStr">
        <is>
          <t>Revenue Growth (Y1–Y5)</t>
        </is>
      </c>
      <c r="B13" s="3" t="n">
        <v>0.1</v>
      </c>
      <c r="C13" s="3" t="n">
        <v>0.08</v>
      </c>
      <c r="D13" s="3" t="n">
        <v>0.06</v>
      </c>
      <c r="E13" s="3" t="n">
        <v>0.05</v>
      </c>
      <c r="F13" s="3" t="n">
        <v>0.04</v>
      </c>
    </row>
    <row r="15">
      <c r="A15" s="4" t="inlineStr">
        <is>
          <t>Year</t>
        </is>
      </c>
      <c r="B15" s="4" t="n">
        <v>0</v>
      </c>
      <c r="C15" s="4" t="n">
        <v>1</v>
      </c>
      <c r="D15" s="4" t="n">
        <v>2</v>
      </c>
      <c r="E15" s="4" t="n">
        <v>3</v>
      </c>
      <c r="F15" s="4" t="n">
        <v>4</v>
      </c>
      <c r="G15" s="4" t="n">
        <v>5</v>
      </c>
    </row>
    <row r="16">
      <c r="A16" s="2" t="inlineStr">
        <is>
          <t>Revenue</t>
        </is>
      </c>
      <c r="B16" s="5">
        <f>B4</f>
        <v/>
      </c>
      <c r="C16" s="5">
        <f>B16*(1+B13)</f>
        <v/>
      </c>
      <c r="D16" s="5">
        <f>C16*(1+C13)</f>
        <v/>
      </c>
      <c r="E16" s="5">
        <f>D16*(1+D13)</f>
        <v/>
      </c>
      <c r="F16" s="5">
        <f>E16*(1+E13)</f>
        <v/>
      </c>
      <c r="G16" s="5">
        <f>F16*(1+F13)</f>
        <v/>
      </c>
    </row>
    <row r="17">
      <c r="A17" s="6" t="inlineStr">
        <is>
          <t>EBIT</t>
        </is>
      </c>
      <c r="B17" s="5">
        <f>B16*B5</f>
        <v/>
      </c>
      <c r="C17" s="5">
        <f>C16*B5</f>
        <v/>
      </c>
      <c r="D17" s="5">
        <f>D16*B5</f>
        <v/>
      </c>
      <c r="E17" s="5">
        <f>E16*B5</f>
        <v/>
      </c>
      <c r="F17" s="5">
        <f>F16*B5</f>
        <v/>
      </c>
      <c r="G17" s="5">
        <f>G16*B5</f>
        <v/>
      </c>
    </row>
    <row r="18">
      <c r="A18" s="6" t="inlineStr">
        <is>
          <t>Taxes</t>
        </is>
      </c>
      <c r="B18" s="5">
        <f>B17*B6</f>
        <v/>
      </c>
      <c r="C18" s="5">
        <f>C17*B6</f>
        <v/>
      </c>
      <c r="D18" s="5">
        <f>D17*B6</f>
        <v/>
      </c>
      <c r="E18" s="5">
        <f>E17*B6</f>
        <v/>
      </c>
      <c r="F18" s="5">
        <f>F17*B6</f>
        <v/>
      </c>
      <c r="G18" s="5">
        <f>G17*B6</f>
        <v/>
      </c>
    </row>
    <row r="19">
      <c r="A19" s="6" t="inlineStr">
        <is>
          <t>NOPAT</t>
        </is>
      </c>
      <c r="B19" s="5">
        <f>B17-B18</f>
        <v/>
      </c>
      <c r="C19" s="5">
        <f>C17-C18</f>
        <v/>
      </c>
      <c r="D19" s="5">
        <f>D17-D18</f>
        <v/>
      </c>
      <c r="E19" s="5">
        <f>E17-E18</f>
        <v/>
      </c>
      <c r="F19" s="5">
        <f>F17-F18</f>
        <v/>
      </c>
      <c r="G19" s="5">
        <f>G17-G18</f>
        <v/>
      </c>
    </row>
    <row r="20">
      <c r="A20" s="6" t="inlineStr">
        <is>
          <t>D&amp;A</t>
        </is>
      </c>
      <c r="B20" s="5">
        <f>B16*B7</f>
        <v/>
      </c>
      <c r="C20" s="5">
        <f>C16*B7</f>
        <v/>
      </c>
      <c r="D20" s="5">
        <f>D16*B7</f>
        <v/>
      </c>
      <c r="E20" s="5">
        <f>E16*B7</f>
        <v/>
      </c>
      <c r="F20" s="5">
        <f>F16*B7</f>
        <v/>
      </c>
      <c r="G20" s="5">
        <f>G16*B7</f>
        <v/>
      </c>
    </row>
    <row r="21">
      <c r="A21" s="6" t="inlineStr">
        <is>
          <t>Capex</t>
        </is>
      </c>
      <c r="B21" s="5">
        <f>B16*B8</f>
        <v/>
      </c>
      <c r="C21" s="5">
        <f>C16*B8</f>
        <v/>
      </c>
      <c r="D21" s="5">
        <f>D16*B8</f>
        <v/>
      </c>
      <c r="E21" s="5">
        <f>E16*B8</f>
        <v/>
      </c>
      <c r="F21" s="5">
        <f>F16*B8</f>
        <v/>
      </c>
      <c r="G21" s="5">
        <f>G16*B8</f>
        <v/>
      </c>
    </row>
    <row r="22">
      <c r="A22" s="6" t="inlineStr">
        <is>
          <t>NWC</t>
        </is>
      </c>
      <c r="B22" s="5">
        <f>B16*B9</f>
        <v/>
      </c>
      <c r="C22" s="5">
        <f>C16*B9</f>
        <v/>
      </c>
      <c r="D22" s="5">
        <f>D16*B9</f>
        <v/>
      </c>
      <c r="E22" s="5">
        <f>E16*B9</f>
        <v/>
      </c>
      <c r="F22" s="5">
        <f>F16*B9</f>
        <v/>
      </c>
      <c r="G22" s="5">
        <f>G16*B9</f>
        <v/>
      </c>
    </row>
    <row r="23">
      <c r="A23" s="6" t="inlineStr">
        <is>
          <t>Change in NWC</t>
        </is>
      </c>
      <c r="B23" s="5" t="n">
        <v>0</v>
      </c>
      <c r="C23" s="5">
        <f>C22-B22</f>
        <v/>
      </c>
      <c r="D23" s="5">
        <f>D22-C22</f>
        <v/>
      </c>
      <c r="E23" s="5">
        <f>E22-D22</f>
        <v/>
      </c>
      <c r="F23" s="5">
        <f>F22-E22</f>
        <v/>
      </c>
      <c r="G23" s="5">
        <f>G22-F22</f>
        <v/>
      </c>
    </row>
    <row r="24">
      <c r="A24" s="2" t="inlineStr">
        <is>
          <t>Unlevered FCF</t>
        </is>
      </c>
      <c r="B24" s="5">
        <f>B19+B20-B21-B23</f>
        <v/>
      </c>
      <c r="C24" s="5">
        <f>C19+C20-C21-C23</f>
        <v/>
      </c>
      <c r="D24" s="5">
        <f>D19+D20-D21-D23</f>
        <v/>
      </c>
      <c r="E24" s="5">
        <f>E19+E20-E21-E23</f>
        <v/>
      </c>
      <c r="F24" s="5">
        <f>F19+F20-F21-F23</f>
        <v/>
      </c>
      <c r="G24" s="5">
        <f>G19+G20-G21-G23</f>
        <v/>
      </c>
    </row>
    <row r="25"/>
    <row r="26">
      <c r="A26" s="2" t="inlineStr">
        <is>
          <t>Discount factor</t>
        </is>
      </c>
      <c r="B26" t="n">
        <v>1</v>
      </c>
      <c r="C26">
        <f>1/(1+B10)^1</f>
        <v/>
      </c>
      <c r="D26">
        <f>1/(1+B10)^2</f>
        <v/>
      </c>
      <c r="E26">
        <f>1/(1+B10)^3</f>
        <v/>
      </c>
      <c r="F26">
        <f>1/(1+B10)^4</f>
        <v/>
      </c>
      <c r="G26">
        <f>1/(1+B10)^5</f>
        <v/>
      </c>
    </row>
    <row r="27">
      <c r="A27" s="6" t="inlineStr">
        <is>
          <t>PV of FCF</t>
        </is>
      </c>
      <c r="B27" t="inlineStr"/>
      <c r="C27" s="5">
        <f>C24*C26</f>
        <v/>
      </c>
      <c r="D27" s="5">
        <f>D24*D26</f>
        <v/>
      </c>
      <c r="E27" s="5">
        <f>E24*E26</f>
        <v/>
      </c>
      <c r="F27" s="5">
        <f>F24*F26</f>
        <v/>
      </c>
      <c r="G27" s="5">
        <f>G24*G26</f>
        <v/>
      </c>
    </row>
    <row r="28"/>
    <row r="29">
      <c r="A29" s="2" t="inlineStr">
        <is>
          <t>Terminal value (end of Y5)</t>
        </is>
      </c>
      <c r="G29" s="5">
        <f>G24*(1+B11)/(B10-B11)</f>
        <v/>
      </c>
    </row>
    <row r="30">
      <c r="A30" s="6" t="inlineStr">
        <is>
          <t>PV of terminal value</t>
        </is>
      </c>
      <c r="G30" s="5">
        <f>G29*G26</f>
        <v/>
      </c>
    </row>
    <row r="31">
      <c r="A31" s="6" t="inlineStr">
        <is>
          <t>Enterprise value</t>
        </is>
      </c>
      <c r="G31" s="5">
        <f>SUM(C27:G27)+G30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2026-01-15T02:54:20Z</dcterms:created>
  <dcterms:modified xmlns:dcterms="http://purl.org/dc/terms/" xmlns:xsi="http://www.w3.org/2001/XMLSchema-instance" xsi:type="dcterms:W3CDTF">2026-01-15T02:54:20Z</dcterms:modified>
</cp:coreProperties>
</file>